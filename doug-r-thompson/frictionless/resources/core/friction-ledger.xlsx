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c24ed94bc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28b372ae384e6f"/>
    <x:sheet xmlns:r="http://schemas.openxmlformats.org/officeDocument/2006/relationships" name="Ledger" sheetId="2" r:id="R4b6943583cc64e01"/>
    <x:sheet xmlns:r="http://schemas.openxmlformats.org/officeDocument/2006/relationships" name="Summary" sheetId="3" r:id="Rf7c9fa4b4423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sz val="11"/>
      <x:color rgb="FF141F2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13D"/>
      </x:patternFill>
    </x:fill>
    <x:fill>
      <x:patternFill patternType="solid">
        <x:fgColor rgb="FF0D656C"/>
      </x:patternFill>
    </x:fill>
    <x:fill>
      <x:patternFill patternType="solid">
        <x:fgColor rgb="FFFFF1B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229b415264dbc" /><Relationship Type="http://schemas.openxmlformats.org/officeDocument/2006/relationships/theme" Target="/xl/theme/theme1.xml" Id="Rdfe1d828e4a04229" /><Relationship Type="http://schemas.openxmlformats.org/officeDocument/2006/relationships/sharedStrings" Target="/xl/sharedStrings.xml" Id="R94bb19bfbec9426f" /><Relationship Type="http://schemas.openxmlformats.org/officeDocument/2006/relationships/worksheet" Target="/xl/worksheets/sheet1.xml" Id="R7228b372ae384e6f" /><Relationship Type="http://schemas.openxmlformats.org/officeDocument/2006/relationships/worksheet" Target="/xl/worksheets/sheet2.xml" Id="R4b6943583cc64e01" /><Relationship Type="http://schemas.openxmlformats.org/officeDocument/2006/relationships/worksheet" Target="/xl/worksheets/sheet3.xml" Id="Rf7c9fa4b442348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3" customHeight="1">
      <x:c r="A1" s="4" t="str">
        <x:v>Friction Ledger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4" ht="27" customHeight="1">
      <x:c r="A4" s="8" t="str">
        <x:v>Track where effort is imposed, who bears it, and how much avoidable work may be involved.</x:v>
      </x:c>
      <x:c r="B4" s="8"/>
      <x:c r="C4" s="8"/>
      <x:c r="D4" s="8"/>
      <x:c r="E4" s="8"/>
      <x:c r="F4" s="8"/>
    </x:row>
    <x:row r="5" ht="27" customHeight="1">
      <x:c r="A5" s="8"/>
      <x:c r="B5" s="8"/>
      <x:c r="C5" s="8"/>
      <x:c r="D5" s="8"/>
      <x:c r="E5" s="8"/>
      <x:c r="F5" s="8"/>
    </x:row>
    <x:row r="7" ht="23" customHeight="1">
      <x:c r="A7" s="11" t="str">
        <x:v>How to use</x:v>
      </x:c>
      <x:c r="B7" s="11"/>
      <x:c r="C7" s="11"/>
      <x:c r="D7" s="11"/>
      <x:c r="E7" s="11"/>
      <x:c r="F7" s="11"/>
    </x:row>
    <x:row r="8" ht="29" customHeight="1">
      <x:c r="A8" s="8" t="str">
        <x:v>1. Open Ledger</x:v>
      </x:c>
      <x:c r="B8" s="8" t="str">
        <x:v>Replace the fictional example in row 5 with real observations.</x:v>
      </x:c>
      <x:c r="C8" s="8"/>
      <x:c r="D8" s="8"/>
      <x:c r="E8" s="8"/>
      <x:c r="F8" s="8"/>
    </x:row>
    <x:row r="9" ht="29" customHeight="1">
      <x:c r="A9" s="8" t="str">
        <x:v>2. Record burden</x:v>
      </x:c>
      <x:c r="B9" s="8" t="str">
        <x:v>Enter weekly frequency and minutes per occurrence; hours/week calculates automatically.</x:v>
      </x:c>
      <x:c r="C9" s="8"/>
      <x:c r="D9" s="8"/>
      <x:c r="E9" s="8"/>
      <x:c r="F9" s="8"/>
    </x:row>
    <x:row r="10" ht="29" customHeight="1">
      <x:c r="A10" s="8" t="str">
        <x:v>3. Identify who pays</x:v>
      </x:c>
      <x:c r="B10" s="8" t="str">
        <x:v>Track the user group and owner, not only the service provider.</x:v>
      </x:c>
      <x:c r="C10" s="8"/>
      <x:c r="D10" s="8"/>
      <x:c r="E10" s="8"/>
      <x:c r="F10" s="8"/>
    </x:row>
    <x:row r="11" ht="29" customHeight="1">
      <x:c r="A11" s="8" t="str">
        <x:v>4. Preserve safeguards</x:v>
      </x:c>
      <x:c r="B11" s="8" t="str">
        <x:v>Decide whether a step should stay, be simplified, or be redesigned.</x:v>
      </x:c>
      <x:c r="C11" s="8"/>
      <x:c r="D11" s="8"/>
      <x:c r="E11" s="8"/>
      <x:c r="F11" s="8"/>
    </x:row>
    <x:row r="12" ht="29" customHeight="1">
      <x:c r="A12" s="8" t="str">
        <x:v>5. Verify</x:v>
      </x:c>
      <x:c r="B12" s="8" t="str">
        <x:v>Only claim improvement after comparing observed before/after outcomes.</x:v>
      </x:c>
      <x:c r="C12" s="8"/>
      <x:c r="D12" s="8"/>
      <x:c r="E12" s="8"/>
      <x:c r="F12" s="8"/>
    </x:row>
    <x:row r="14">
      <x:c r="A14" s="11" t="str">
        <x:v>Data policy</x:v>
      </x:c>
      <x:c r="B14" s="11"/>
      <x:c r="C14" s="11"/>
      <x:c r="D14" s="11"/>
      <x:c r="E14" s="11"/>
      <x:c r="F14" s="11"/>
    </x:row>
    <x:row r="15">
      <x:c r="A15" s="8" t="str">
        <x:v>All example rows are fictional. Do not store identifiable customer, employee, or citizen information in a public GitHub repository. No macros, network connections or external data sources.</x:v>
      </x:c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</x:sheetData>
  <x:mergeCells>
    <x:mergeCell ref="A1:F2"/>
    <x:mergeCell ref="A4:F5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34" hidden="0" customWidth="1"/>
    <x:col min="4" max="4" width="22" hidden="0" customWidth="1"/>
    <x:col min="5" max="5" width="15" hidden="0" customWidth="1"/>
    <x:col min="6" max="6" width="16" hidden="0" customWidth="1"/>
    <x:col min="7" max="7" width="19" hidden="0" customWidth="1"/>
    <x:col min="8" max="8" width="17" hidden="0" customWidth="1"/>
    <x:col min="9" max="9" width="15" hidden="0" customWidth="1"/>
    <x:col min="10" max="10" width="25" hidden="0" customWidth="1"/>
    <x:col min="11" max="11" width="20" hidden="0" customWidth="1"/>
    <x:col min="12" max="12" width="18" hidden="0" customWidth="1"/>
    <x:col min="13" max="13" width="36" hidden="0" customWidth="1"/>
  </x:cols>
  <x:sheetData>
    <x:row r="1" ht="30" customHeight="1">
      <x:c r="A1" s="14" t="str">
        <x:v>Friction Ledger — one record per distinct problem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>
      <x:c r="A2" s="8" t="str">
        <x:v>Blue cells are editable; H calculates estimated hours/week. Example row is fictional, not research evidence.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4" ht="40" customHeight="1">
      <x:c r="A4" s="18" t="str">
        <x:v>Case ID</x:v>
      </x:c>
      <x:c r="B4" s="18" t="str">
        <x:v>Intended task</x:v>
      </x:c>
      <x:c r="C4" s="18" t="str">
        <x:v>Observed friction</x:v>
      </x:c>
      <x:c r="D4" s="18" t="str">
        <x:v>Who bears work?</x:v>
      </x:c>
      <x:c r="E4" s="18" t="str">
        <x:v>Channel</x:v>
      </x:c>
      <x:c r="F4" s="18" t="str">
        <x:v>Occurrences / wk</x:v>
      </x:c>
      <x:c r="G4" s="18" t="str">
        <x:v>Extra minutes / occurrence</x:v>
      </x:c>
      <x:c r="H4" s="18" t="str">
        <x:v>Hours / wk (formula)</x:v>
      </x:c>
      <x:c r="I4" s="18" t="str">
        <x:v>Severity (1–5)</x:v>
      </x:c>
      <x:c r="J4" s="18" t="str">
        <x:v>Keep / Remove / Redesign</x:v>
      </x:c>
      <x:c r="K4" s="18" t="str">
        <x:v>Decision owner</x:v>
      </x:c>
      <x:c r="L4" s="18" t="str">
        <x:v>Status</x:v>
      </x:c>
      <x:c r="M4" s="18" t="str">
        <x:v>Evidence / confidence</x:v>
      </x:c>
    </x:row>
    <x:row r="5" ht="35" customHeight="1">
      <x:c r="A5" s="24" t="str">
        <x:v>DEMO-01</x:v>
      </x:c>
      <x:c r="B5" s="24" t="str">
        <x:v>Finish first-time checkout</x:v>
      </x:c>
      <x:c r="C5" s="24" t="str">
        <x:v>Forced registration before payment</x:v>
      </x:c>
      <x:c r="D5" s="24" t="str">
        <x:v>New customers</x:v>
      </x:c>
      <x:c r="E5" s="24" t="str">
        <x:v>Web</x:v>
      </x:c>
      <x:c r="F5" s="30" t="n">
        <x:v>150</x:v>
      </x:c>
      <x:c r="G5" s="30" t="n">
        <x:v>4</x:v>
      </x:c>
      <x:c r="H5" s="31" t="n">
        <x:f>IF(OR(F5="",G5=""),"",F5*G5/60)</x:f>
        <x:v>10</x:v>
      </x:c>
      <x:c r="I5" s="24" t="n">
        <x:v>3</x:v>
      </x:c>
      <x:c r="J5" s="24" t="str">
        <x:v>Redesign</x:v>
      </x:c>
      <x:c r="K5" s="24" t="str">
        <x:v>Product Owner</x:v>
      </x:c>
      <x:c r="L5" s="24" t="str">
        <x:v>Needs test</x:v>
      </x:c>
      <x:c r="M5" s="24" t="str">
        <x:v>Hypothetical; validate using anonymized logs and observation</x:v>
      </x:c>
    </x:row>
    <x:row r="6" ht="35" customHeight="1">
      <x:c r="A6" s="22"/>
      <x:c r="B6" s="22"/>
      <x:c r="C6" s="22"/>
      <x:c r="D6" s="22"/>
      <x:c r="E6" s="22"/>
      <x:c r="F6" s="32"/>
      <x:c r="G6" s="32"/>
      <x:c r="H6" s="33" t="str">
        <x:f>IF(OR(F6="",G6=""),"",F6*G6/60)</x:f>
      </x:c>
      <x:c r="I6" s="22"/>
      <x:c r="J6" s="22"/>
      <x:c r="K6" s="22"/>
      <x:c r="L6" s="22"/>
      <x:c r="M6" s="22"/>
    </x:row>
    <x:row r="7" ht="35" customHeight="1">
      <x:c r="A7" s="22"/>
      <x:c r="B7" s="22"/>
      <x:c r="C7" s="22"/>
      <x:c r="D7" s="22"/>
      <x:c r="E7" s="22"/>
      <x:c r="F7" s="32"/>
      <x:c r="G7" s="32"/>
      <x:c r="H7" s="33" t="str">
        <x:f>IF(OR(F7="",G7=""),"",F7*G7/60)</x:f>
      </x:c>
      <x:c r="I7" s="22"/>
      <x:c r="J7" s="22"/>
      <x:c r="K7" s="22"/>
      <x:c r="L7" s="22"/>
      <x:c r="M7" s="22"/>
    </x:row>
    <x:row r="8" ht="35" customHeight="1">
      <x:c r="A8" s="22"/>
      <x:c r="B8" s="22"/>
      <x:c r="C8" s="22"/>
      <x:c r="D8" s="22"/>
      <x:c r="E8" s="22"/>
      <x:c r="F8" s="32"/>
      <x:c r="G8" s="32"/>
      <x:c r="H8" s="33" t="str">
        <x:f>IF(OR(F8="",G8=""),"",F8*G8/60)</x:f>
      </x:c>
      <x:c r="I8" s="22"/>
      <x:c r="J8" s="22"/>
      <x:c r="K8" s="22"/>
      <x:c r="L8" s="22"/>
      <x:c r="M8" s="22"/>
    </x:row>
    <x:row r="9" ht="35" customHeight="1">
      <x:c r="A9" s="22"/>
      <x:c r="B9" s="22"/>
      <x:c r="C9" s="22"/>
      <x:c r="D9" s="22"/>
      <x:c r="E9" s="22"/>
      <x:c r="F9" s="32"/>
      <x:c r="G9" s="32"/>
      <x:c r="H9" s="33" t="str">
        <x:f>IF(OR(F9="",G9=""),"",F9*G9/60)</x:f>
      </x:c>
      <x:c r="I9" s="22"/>
      <x:c r="J9" s="22"/>
      <x:c r="K9" s="22"/>
      <x:c r="L9" s="22"/>
      <x:c r="M9" s="22"/>
    </x:row>
    <x:row r="10" ht="35" customHeight="1">
      <x:c r="A10" s="22"/>
      <x:c r="B10" s="22"/>
      <x:c r="C10" s="22"/>
      <x:c r="D10" s="22"/>
      <x:c r="E10" s="22"/>
      <x:c r="F10" s="32"/>
      <x:c r="G10" s="32"/>
      <x:c r="H10" s="33" t="str">
        <x:f>IF(OR(F10="",G10=""),"",F10*G10/60)</x:f>
      </x:c>
      <x:c r="I10" s="22"/>
      <x:c r="J10" s="22"/>
      <x:c r="K10" s="22"/>
      <x:c r="L10" s="22"/>
      <x:c r="M10" s="22"/>
    </x:row>
    <x:row r="11" ht="35" customHeight="1">
      <x:c r="A11" s="22"/>
      <x:c r="B11" s="22"/>
      <x:c r="C11" s="22"/>
      <x:c r="D11" s="22"/>
      <x:c r="E11" s="22"/>
      <x:c r="F11" s="32"/>
      <x:c r="G11" s="32"/>
      <x:c r="H11" s="33" t="str">
        <x:f>IF(OR(F11="",G11=""),"",F11*G11/60)</x:f>
      </x:c>
      <x:c r="I11" s="22"/>
      <x:c r="J11" s="22"/>
      <x:c r="K11" s="22"/>
      <x:c r="L11" s="22"/>
      <x:c r="M11" s="22"/>
    </x:row>
    <x:row r="12" ht="35" customHeight="1">
      <x:c r="A12" s="22"/>
      <x:c r="B12" s="22"/>
      <x:c r="C12" s="22"/>
      <x:c r="D12" s="22"/>
      <x:c r="E12" s="22"/>
      <x:c r="F12" s="32"/>
      <x:c r="G12" s="32"/>
      <x:c r="H12" s="33" t="str">
        <x:f>IF(OR(F12="",G12=""),"",F12*G12/60)</x:f>
      </x:c>
      <x:c r="I12" s="22"/>
      <x:c r="J12" s="22"/>
      <x:c r="K12" s="22"/>
      <x:c r="L12" s="22"/>
      <x:c r="M12" s="22"/>
    </x:row>
    <x:row r="13" ht="35" customHeight="1">
      <x:c r="A13" s="22"/>
      <x:c r="B13" s="22"/>
      <x:c r="C13" s="22"/>
      <x:c r="D13" s="22"/>
      <x:c r="E13" s="22"/>
      <x:c r="F13" s="32"/>
      <x:c r="G13" s="32"/>
      <x:c r="H13" s="33" t="str">
        <x:f>IF(OR(F13="",G13=""),"",F13*G13/60)</x:f>
      </x:c>
      <x:c r="I13" s="22"/>
      <x:c r="J13" s="22"/>
      <x:c r="K13" s="22"/>
      <x:c r="L13" s="22"/>
      <x:c r="M13" s="22"/>
    </x:row>
    <x:row r="14" ht="35" customHeight="1">
      <x:c r="A14" s="22"/>
      <x:c r="B14" s="22"/>
      <x:c r="C14" s="22"/>
      <x:c r="D14" s="22"/>
      <x:c r="E14" s="22"/>
      <x:c r="F14" s="32"/>
      <x:c r="G14" s="32"/>
      <x:c r="H14" s="33" t="str">
        <x:f>IF(OR(F14="",G14=""),"",F14*G14/60)</x:f>
      </x:c>
      <x:c r="I14" s="22"/>
      <x:c r="J14" s="22"/>
      <x:c r="K14" s="22"/>
      <x:c r="L14" s="22"/>
      <x:c r="M14" s="22"/>
    </x:row>
    <x:row r="15" ht="35" customHeight="1">
      <x:c r="A15" s="22"/>
      <x:c r="B15" s="22"/>
      <x:c r="C15" s="22"/>
      <x:c r="D15" s="22"/>
      <x:c r="E15" s="22"/>
      <x:c r="F15" s="32"/>
      <x:c r="G15" s="32"/>
      <x:c r="H15" s="33" t="str">
        <x:f>IF(OR(F15="",G15=""),"",F15*G15/60)</x:f>
      </x:c>
      <x:c r="I15" s="22"/>
      <x:c r="J15" s="22"/>
      <x:c r="K15" s="22"/>
      <x:c r="L15" s="22"/>
      <x:c r="M15" s="22"/>
    </x:row>
    <x:row r="16" ht="35" customHeight="1">
      <x:c r="A16" s="22"/>
      <x:c r="B16" s="22"/>
      <x:c r="C16" s="22"/>
      <x:c r="D16" s="22"/>
      <x:c r="E16" s="22"/>
      <x:c r="F16" s="32"/>
      <x:c r="G16" s="32"/>
      <x:c r="H16" s="33" t="str">
        <x:f>IF(OR(F16="",G16=""),"",F16*G16/60)</x:f>
      </x:c>
      <x:c r="I16" s="22"/>
      <x:c r="J16" s="22"/>
      <x:c r="K16" s="22"/>
      <x:c r="L16" s="22"/>
      <x:c r="M16" s="22"/>
    </x:row>
    <x:row r="17" ht="35" customHeight="1">
      <x:c r="A17" s="22"/>
      <x:c r="B17" s="22"/>
      <x:c r="C17" s="22"/>
      <x:c r="D17" s="22"/>
      <x:c r="E17" s="22"/>
      <x:c r="F17" s="32"/>
      <x:c r="G17" s="32"/>
      <x:c r="H17" s="33" t="str">
        <x:f>IF(OR(F17="",G17=""),"",F17*G17/60)</x:f>
      </x:c>
      <x:c r="I17" s="22"/>
      <x:c r="J17" s="22"/>
      <x:c r="K17" s="22"/>
      <x:c r="L17" s="22"/>
      <x:c r="M17" s="22"/>
    </x:row>
    <x:row r="18" ht="35" customHeight="1">
      <x:c r="A18" s="22"/>
      <x:c r="B18" s="22"/>
      <x:c r="C18" s="22"/>
      <x:c r="D18" s="22"/>
      <x:c r="E18" s="22"/>
      <x:c r="F18" s="32"/>
      <x:c r="G18" s="32"/>
      <x:c r="H18" s="33" t="str">
        <x:f>IF(OR(F18="",G18=""),"",F18*G18/60)</x:f>
      </x:c>
      <x:c r="I18" s="22"/>
      <x:c r="J18" s="22"/>
      <x:c r="K18" s="22"/>
      <x:c r="L18" s="22"/>
      <x:c r="M18" s="22"/>
    </x:row>
    <x:row r="19" ht="35" customHeight="1">
      <x:c r="A19" s="22"/>
      <x:c r="B19" s="22"/>
      <x:c r="C19" s="22"/>
      <x:c r="D19" s="22"/>
      <x:c r="E19" s="22"/>
      <x:c r="F19" s="32"/>
      <x:c r="G19" s="32"/>
      <x:c r="H19" s="33" t="str">
        <x:f>IF(OR(F19="",G19=""),"",F19*G19/60)</x:f>
      </x:c>
      <x:c r="I19" s="22"/>
      <x:c r="J19" s="22"/>
      <x:c r="K19" s="22"/>
      <x:c r="L19" s="22"/>
      <x:c r="M19" s="22"/>
    </x:row>
    <x:row r="20" ht="35" customHeight="1">
      <x:c r="A20" s="22"/>
      <x:c r="B20" s="22"/>
      <x:c r="C20" s="22"/>
      <x:c r="D20" s="22"/>
      <x:c r="E20" s="22"/>
      <x:c r="F20" s="32"/>
      <x:c r="G20" s="32"/>
      <x:c r="H20" s="33" t="str">
        <x:f>IF(OR(F20="",G20=""),"",F20*G20/60)</x:f>
      </x:c>
      <x:c r="I20" s="22"/>
      <x:c r="J20" s="22"/>
      <x:c r="K20" s="22"/>
      <x:c r="L20" s="22"/>
      <x:c r="M20" s="22"/>
    </x:row>
    <x:row r="21" ht="35" customHeight="1">
      <x:c r="A21" s="22"/>
      <x:c r="B21" s="22"/>
      <x:c r="C21" s="22"/>
      <x:c r="D21" s="22"/>
      <x:c r="E21" s="22"/>
      <x:c r="F21" s="32"/>
      <x:c r="G21" s="32"/>
      <x:c r="H21" s="33" t="str">
        <x:f>IF(OR(F21="",G21=""),"",F21*G21/60)</x:f>
      </x:c>
      <x:c r="I21" s="22"/>
      <x:c r="J21" s="22"/>
      <x:c r="K21" s="22"/>
      <x:c r="L21" s="22"/>
      <x:c r="M21" s="22"/>
    </x:row>
    <x:row r="22" ht="35" customHeight="1">
      <x:c r="A22" s="22"/>
      <x:c r="B22" s="22"/>
      <x:c r="C22" s="22"/>
      <x:c r="D22" s="22"/>
      <x:c r="E22" s="22"/>
      <x:c r="F22" s="32"/>
      <x:c r="G22" s="32"/>
      <x:c r="H22" s="33" t="str">
        <x:f>IF(OR(F22="",G22=""),"",F22*G22/60)</x:f>
      </x:c>
      <x:c r="I22" s="22"/>
      <x:c r="J22" s="22"/>
      <x:c r="K22" s="22"/>
      <x:c r="L22" s="22"/>
      <x:c r="M22" s="22"/>
    </x:row>
    <x:row r="23" ht="35" customHeight="1">
      <x:c r="A23" s="22"/>
      <x:c r="B23" s="22"/>
      <x:c r="C23" s="22"/>
      <x:c r="D23" s="22"/>
      <x:c r="E23" s="22"/>
      <x:c r="F23" s="32"/>
      <x:c r="G23" s="32"/>
      <x:c r="H23" s="33" t="str">
        <x:f>IF(OR(F23="",G23=""),"",F23*G23/60)</x:f>
      </x:c>
      <x:c r="I23" s="22"/>
      <x:c r="J23" s="22"/>
      <x:c r="K23" s="22"/>
      <x:c r="L23" s="22"/>
      <x:c r="M23" s="22"/>
    </x:row>
    <x:row r="24" ht="35" customHeight="1">
      <x:c r="A24" s="22"/>
      <x:c r="B24" s="22"/>
      <x:c r="C24" s="22"/>
      <x:c r="D24" s="22"/>
      <x:c r="E24" s="22"/>
      <x:c r="F24" s="32"/>
      <x:c r="G24" s="32"/>
      <x:c r="H24" s="33" t="str">
        <x:f>IF(OR(F24="",G24=""),"",F24*G24/60)</x:f>
      </x:c>
      <x:c r="I24" s="22"/>
      <x:c r="J24" s="22"/>
      <x:c r="K24" s="22"/>
      <x:c r="L24" s="22"/>
      <x:c r="M24" s="22"/>
    </x:row>
    <x:row r="25" ht="35" customHeight="1">
      <x:c r="A25" s="22"/>
      <x:c r="B25" s="22"/>
      <x:c r="C25" s="22"/>
      <x:c r="D25" s="22"/>
      <x:c r="E25" s="22"/>
      <x:c r="F25" s="32"/>
      <x:c r="G25" s="32"/>
      <x:c r="H25" s="33" t="str">
        <x:f>IF(OR(F25="",G25=""),"",F25*G25/60)</x:f>
      </x:c>
      <x:c r="I25" s="22"/>
      <x:c r="J25" s="22"/>
      <x:c r="K25" s="22"/>
      <x:c r="L25" s="22"/>
      <x:c r="M25" s="22"/>
    </x:row>
    <x:row r="26" ht="35" customHeight="1">
      <x:c r="A26" s="22"/>
      <x:c r="B26" s="22"/>
      <x:c r="C26" s="22"/>
      <x:c r="D26" s="22"/>
      <x:c r="E26" s="22"/>
      <x:c r="F26" s="32"/>
      <x:c r="G26" s="32"/>
      <x:c r="H26" s="33" t="str">
        <x:f>IF(OR(F26="",G26=""),"",F26*G26/60)</x:f>
      </x:c>
      <x:c r="I26" s="22"/>
      <x:c r="J26" s="22"/>
      <x:c r="K26" s="22"/>
      <x:c r="L26" s="22"/>
      <x:c r="M26" s="22"/>
    </x:row>
    <x:row r="27" ht="35" customHeight="1">
      <x:c r="A27" s="22"/>
      <x:c r="B27" s="22"/>
      <x:c r="C27" s="22"/>
      <x:c r="D27" s="22"/>
      <x:c r="E27" s="22"/>
      <x:c r="F27" s="32"/>
      <x:c r="G27" s="32"/>
      <x:c r="H27" s="33" t="str">
        <x:f>IF(OR(F27="",G27=""),"",F27*G27/60)</x:f>
      </x:c>
      <x:c r="I27" s="22"/>
      <x:c r="J27" s="22"/>
      <x:c r="K27" s="22"/>
      <x:c r="L27" s="22"/>
      <x:c r="M27" s="22"/>
    </x:row>
    <x:row r="28" ht="35" customHeight="1">
      <x:c r="A28" s="22"/>
      <x:c r="B28" s="22"/>
      <x:c r="C28" s="22"/>
      <x:c r="D28" s="22"/>
      <x:c r="E28" s="22"/>
      <x:c r="F28" s="32"/>
      <x:c r="G28" s="32"/>
      <x:c r="H28" s="33" t="str">
        <x:f>IF(OR(F28="",G28=""),"",F28*G28/60)</x:f>
      </x:c>
      <x:c r="I28" s="22"/>
      <x:c r="J28" s="22"/>
      <x:c r="K28" s="22"/>
      <x:c r="L28" s="22"/>
      <x:c r="M28" s="22"/>
    </x:row>
    <x:row r="29" ht="35" customHeight="1">
      <x:c r="A29" s="22"/>
      <x:c r="B29" s="22"/>
      <x:c r="C29" s="22"/>
      <x:c r="D29" s="22"/>
      <x:c r="E29" s="22"/>
      <x:c r="F29" s="32"/>
      <x:c r="G29" s="32"/>
      <x:c r="H29" s="33" t="str">
        <x:f>IF(OR(F29="",G29=""),"",F29*G29/60)</x:f>
      </x:c>
      <x:c r="I29" s="22"/>
      <x:c r="J29" s="22"/>
      <x:c r="K29" s="22"/>
      <x:c r="L29" s="22"/>
      <x:c r="M29" s="22"/>
    </x:row>
  </x:sheetData>
  <x:mergeCells>
    <x:mergeCell ref="A1:M1"/>
    <x:mergeCell ref="A2:M2"/>
  </x:mergeCells>
  <x:dataValidations count="3">
    <x:dataValidation type="list" sqref="I5:I29">
      <x:formula1>"1,2,3,4,5"</x:formula1>
    </x:dataValidation>
    <x:dataValidation type="list" sqref="J5:J29">
      <x:formula1>"Keep,Remove,Redesign,Investigate"</x:formula1>
    </x:dataValidation>
    <x:dataValidation type="list" sqref="L5:L29">
      <x:formula1>"Needs test,Observed,Prioritized,Pilot,Fixed,Review"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 ht="30" customHeight="1">
      <x:c r="A1" s="14" t="str">
        <x:v>Friction Ledger — summary</x:v>
      </x:c>
      <x:c r="B1" s="14"/>
      <x:c r="C1" s="14"/>
      <x:c r="D1" s="14"/>
    </x:row>
    <x:row r="4">
      <x:c r="A4" s="11" t="str">
        <x:v>Metric</x:v>
      </x:c>
      <x:c r="B4" s="11" t="str">
        <x:v>Result</x:v>
      </x:c>
    </x:row>
    <x:row r="5">
      <x:c r="A5" t="str">
        <x:v>Cases recorded</x:v>
      </x:c>
      <x:c r="B5" t="n">
        <x:f>COUNTA(Ledger!B5:B29)</x:f>
        <x:v>1</x:v>
      </x:c>
    </x:row>
    <x:row r="6">
      <x:c r="A6" t="str">
        <x:v>Estimated hours/week</x:v>
      </x:c>
      <x:c r="B6" t="n">
        <x:f>SUM(Ledger!H5:H29)</x:f>
        <x:v>10</x:v>
      </x:c>
    </x:row>
    <x:row r="7">
      <x:c r="A7" t="str">
        <x:v>Annualized hours (52 weeks)</x:v>
      </x:c>
      <x:c r="B7" t="n">
        <x:f>B6*52</x:f>
        <x:v>520</x:v>
      </x:c>
    </x:row>
    <x:row r="10">
      <x:c r="A10" s="8" t="str">
        <x:v>Only a working estimate: hours are not automatically financial savings, and some legitimate effort must remain. Check whose burden may be shifted elsewhere.</x:v>
      </x:c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</x:sheetData>
  <x:mergeCells>
    <x:mergeCell ref="A1:D1"/>
    <x:mergeCell ref="A10:D11"/>
  </x:mergeCells>
  <x:pageMargins left="0.7" right="0.7" top="0.75" bottom="0.75" header="0.3" footer="0.3"/>
</x:worksheet>
</file>